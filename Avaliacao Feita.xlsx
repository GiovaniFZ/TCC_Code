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48DC1EE8-21E0-4D53-AD50-EEF8A5EFD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aliações por Critério" sheetId="2" r:id="rId1"/>
    <sheet name="Média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H8" i="5"/>
  <c r="G8" i="5"/>
  <c r="F8" i="5"/>
  <c r="E8" i="5"/>
  <c r="I7" i="5"/>
  <c r="H7" i="5"/>
  <c r="G7" i="5"/>
  <c r="F7" i="5"/>
  <c r="E7" i="5"/>
  <c r="I6" i="5"/>
  <c r="I5" i="5"/>
  <c r="H6" i="5"/>
  <c r="H5" i="5"/>
  <c r="G6" i="5"/>
  <c r="G5" i="5"/>
  <c r="F6" i="5"/>
  <c r="F5" i="5"/>
  <c r="E6" i="5"/>
  <c r="E5" i="5"/>
  <c r="D8" i="5"/>
  <c r="D7" i="5"/>
  <c r="C8" i="5"/>
  <c r="C7" i="5"/>
  <c r="D6" i="5"/>
  <c r="D5" i="5"/>
  <c r="C6" i="5"/>
  <c r="C5" i="5"/>
  <c r="E38" i="2"/>
  <c r="D38" i="2"/>
  <c r="E37" i="2"/>
  <c r="D37" i="2"/>
  <c r="E36" i="2"/>
  <c r="D36" i="2"/>
  <c r="E35" i="2"/>
  <c r="D35" i="2"/>
  <c r="E34" i="2"/>
  <c r="D34" i="2"/>
  <c r="E33" i="2"/>
  <c r="D33" i="2"/>
  <c r="D32" i="2"/>
  <c r="E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I4" i="5"/>
  <c r="I14" i="5" s="1"/>
  <c r="I3" i="5"/>
  <c r="I13" i="5" s="1"/>
  <c r="H4" i="5"/>
  <c r="H14" i="5" s="1"/>
  <c r="H3" i="5"/>
  <c r="H13" i="5" s="1"/>
  <c r="G4" i="5"/>
  <c r="G3" i="5"/>
  <c r="F4" i="5"/>
  <c r="F3" i="5"/>
  <c r="F13" i="5" s="1"/>
  <c r="E4" i="5"/>
  <c r="E14" i="5" s="1"/>
  <c r="E3" i="5"/>
  <c r="D4" i="5"/>
  <c r="D3" i="5"/>
  <c r="C4" i="5"/>
  <c r="C3" i="5"/>
  <c r="D14" i="2"/>
  <c r="D12" i="2"/>
  <c r="D8" i="2"/>
  <c r="D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" i="2"/>
  <c r="C13" i="5" l="1"/>
  <c r="C14" i="5"/>
  <c r="D13" i="5"/>
  <c r="D14" i="5"/>
  <c r="J5" i="5"/>
  <c r="J6" i="5"/>
  <c r="G13" i="5"/>
  <c r="J3" i="5"/>
  <c r="F14" i="5"/>
  <c r="G14" i="5"/>
  <c r="J4" i="5"/>
  <c r="E13" i="5"/>
  <c r="J8" i="5"/>
  <c r="J7" i="5"/>
  <c r="J13" i="5" s="1"/>
  <c r="J14" i="5" l="1"/>
</calcChain>
</file>

<file path=xl/sharedStrings.xml><?xml version="1.0" encoding="utf-8"?>
<sst xmlns="http://schemas.openxmlformats.org/spreadsheetml/2006/main" count="150" uniqueCount="25">
  <si>
    <t>Critério</t>
  </si>
  <si>
    <t>Clareza</t>
  </si>
  <si>
    <t>Legibilidade</t>
  </si>
  <si>
    <t>Precisão</t>
  </si>
  <si>
    <t>Eficácia</t>
  </si>
  <si>
    <t>Completude</t>
  </si>
  <si>
    <t>Prompt #</t>
  </si>
  <si>
    <t>Modelo</t>
  </si>
  <si>
    <t>Tempo de Resposta (s)</t>
  </si>
  <si>
    <t>Custo (tokens)</t>
  </si>
  <si>
    <t>Média Qualitativa</t>
  </si>
  <si>
    <t>Observações</t>
  </si>
  <si>
    <t>Geração de código</t>
  </si>
  <si>
    <t>Prompt 1</t>
  </si>
  <si>
    <t>ChatGPT</t>
  </si>
  <si>
    <t>Gemini</t>
  </si>
  <si>
    <t>Prompt 2</t>
  </si>
  <si>
    <t>Prompt 3</t>
  </si>
  <si>
    <t>Prompt 4</t>
  </si>
  <si>
    <t>Prompt 5</t>
  </si>
  <si>
    <t>Prompt 6</t>
  </si>
  <si>
    <t>Depuração e análise de erros</t>
  </si>
  <si>
    <t>Compreensão de código</t>
  </si>
  <si>
    <t>Modelos</t>
  </si>
  <si>
    <t>Critérios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</si>
</sst>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ck">
        <color theme="3" tint="0.59999389629810485"/>
      </left>
      <right style="thick">
        <color theme="3" tint="0.59999389629810485"/>
      </right>
      <top style="thick">
        <color theme="3" tint="0.59999389629810485"/>
      </top>
      <bottom style="thick">
        <color theme="3" tint="0.59999389629810485"/>
      </bottom>
      <diagonal/>
    </border>
    <border>
      <left style="thick">
        <color theme="9" tint="0.39997558519241921"/>
      </left>
      <right style="thick">
        <color theme="9" tint="0.39997558519241921"/>
      </right>
      <top style="thick">
        <color theme="9" tint="0.39997558519241921"/>
      </top>
      <bottom style="thick">
        <color theme="9" tint="0.39997558519241921"/>
      </bottom>
      <diagonal/>
    </border>
    <border>
      <left style="thick">
        <color theme="6" tint="0.39997558519241921"/>
      </left>
      <right style="thick">
        <color theme="6" tint="0.39997558519241921"/>
      </right>
      <top style="thick">
        <color theme="6" tint="0.39997558519241921"/>
      </top>
      <bottom style="thick">
        <color theme="6" tint="0.39997558519241921"/>
      </bottom>
      <diagonal/>
    </border>
    <border>
      <left style="thick">
        <color theme="9" tint="0.39997558519241921"/>
      </left>
      <right style="thick">
        <color theme="9" tint="0.39997558519241921"/>
      </right>
      <top style="thick">
        <color theme="9" tint="0.39997558519241921"/>
      </top>
      <bottom/>
      <diagonal/>
    </border>
    <border>
      <left style="thick">
        <color theme="9" tint="0.39997558519241921"/>
      </left>
      <right style="thick">
        <color theme="9" tint="0.39997558519241921"/>
      </right>
      <top/>
      <bottom style="thick">
        <color theme="9" tint="0.39997558519241921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9" tint="0.39997558519241921"/>
      </left>
      <right style="thick">
        <color theme="9" tint="0.39997558519241921"/>
      </right>
      <top/>
      <bottom/>
      <diagonal/>
    </border>
    <border>
      <left style="thick">
        <color theme="6" tint="0.39997558519241921"/>
      </left>
      <right/>
      <top style="thick">
        <color theme="6" tint="0.39997558519241921"/>
      </top>
      <bottom style="thick">
        <color theme="6" tint="0.39997558519241921"/>
      </bottom>
      <diagonal/>
    </border>
    <border>
      <left style="thick">
        <color theme="6" tint="0.39997558519241921"/>
      </left>
      <right/>
      <top style="thick">
        <color theme="6" tint="0.39997558519241921"/>
      </top>
      <bottom/>
      <diagonal/>
    </border>
    <border>
      <left style="thick">
        <color theme="3" tint="0.59999389629810485"/>
      </left>
      <right style="thick">
        <color theme="3" tint="0.59999389629810485"/>
      </right>
      <top/>
      <bottom style="thick">
        <color theme="3" tint="0.5999938962981048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5" fillId="5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Médias!$C$11</c:f>
              <c:strCache>
                <c:ptCount val="1"/>
                <c:pt idx="0">
                  <c:v>Tempo de Resposta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Médias!$B$12:$B$14</c:f>
              <c:strCache>
                <c:ptCount val="3"/>
                <c:pt idx="1">
                  <c:v>ChatGPT</c:v>
                </c:pt>
                <c:pt idx="2">
                  <c:v>Gemini</c:v>
                </c:pt>
              </c:strCache>
            </c:strRef>
          </c:cat>
          <c:val>
            <c:numRef>
              <c:f>Médias!$C$12:$C$14</c:f>
              <c:numCache>
                <c:formatCode>0.00</c:formatCode>
                <c:ptCount val="3"/>
                <c:pt idx="1">
                  <c:v>8.8688117265701205</c:v>
                </c:pt>
                <c:pt idx="2">
                  <c:v>17.242011944452862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B8D-A514-360F04CAB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59279"/>
        <c:axId val="1912450159"/>
      </c:barChart>
      <c:catAx>
        <c:axId val="19124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450159"/>
        <c:crosses val="autoZero"/>
        <c:auto val="1"/>
        <c:lblAlgn val="ctr"/>
        <c:lblOffset val="100"/>
        <c:noMultiLvlLbl val="0"/>
      </c:catAx>
      <c:valAx>
        <c:axId val="19124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45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Médias!$D$11</c:f>
              <c:strCache>
                <c:ptCount val="1"/>
                <c:pt idx="0">
                  <c:v>Custo (tokens)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Médias!$B$12:$B$14</c:f>
              <c:strCache>
                <c:ptCount val="3"/>
                <c:pt idx="1">
                  <c:v>ChatGPT</c:v>
                </c:pt>
                <c:pt idx="2">
                  <c:v>Gemini</c:v>
                </c:pt>
              </c:strCache>
            </c:strRef>
          </c:cat>
          <c:val>
            <c:numRef>
              <c:f>Médias!$D$12:$D$14</c:f>
              <c:numCache>
                <c:formatCode>0.00</c:formatCode>
                <c:ptCount val="3"/>
                <c:pt idx="1">
                  <c:v>620.5</c:v>
                </c:pt>
                <c:pt idx="2">
                  <c:v>3562.8888888888887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9-4BA9-9065-79E9163D9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775871"/>
        <c:axId val="1871784031"/>
      </c:barChart>
      <c:catAx>
        <c:axId val="187177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784031"/>
        <c:crosses val="autoZero"/>
        <c:auto val="1"/>
        <c:lblAlgn val="ctr"/>
        <c:lblOffset val="100"/>
        <c:noMultiLvlLbl val="0"/>
      </c:catAx>
      <c:valAx>
        <c:axId val="18717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77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Comparação das Métricas Qualitativas por Modelo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1"/>
          <c:order val="1"/>
          <c:tx>
            <c:strRef>
              <c:f>Médias!$B$13</c:f>
              <c:strCache>
                <c:ptCount val="1"/>
                <c:pt idx="0">
                  <c:v>ChatGPT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Médias!$E$11:$I$11</c:f>
              <c:strCache>
                <c:ptCount val="5"/>
                <c:pt idx="0">
                  <c:v>Clareza</c:v>
                </c:pt>
                <c:pt idx="1">
                  <c:v>Legibilidade</c:v>
                </c:pt>
                <c:pt idx="2">
                  <c:v>Precisão</c:v>
                </c:pt>
                <c:pt idx="3">
                  <c:v>Eficácia</c:v>
                </c:pt>
                <c:pt idx="4">
                  <c:v>Completude</c:v>
                </c:pt>
              </c:strCache>
            </c:strRef>
          </c:cat>
          <c:val>
            <c:numRef>
              <c:f>Médias!$E$13:$I$13</c:f>
              <c:numCache>
                <c:formatCode>0.00</c:formatCode>
                <c:ptCount val="5"/>
                <c:pt idx="0">
                  <c:v>3.7777777777777772</c:v>
                </c:pt>
                <c:pt idx="1">
                  <c:v>3.6666666666666665</c:v>
                </c:pt>
                <c:pt idx="2">
                  <c:v>3.8888888888888893</c:v>
                </c:pt>
                <c:pt idx="3">
                  <c:v>3.7777777777777781</c:v>
                </c:pt>
                <c:pt idx="4">
                  <c:v>3.9444444444444442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9-4515-9472-5B184004F412}"/>
            </c:ext>
          </c:extLst>
        </c:ser>
        <c:ser>
          <c:idx val="2"/>
          <c:order val="2"/>
          <c:tx>
            <c:strRef>
              <c:f>Médias!$B$14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Médias!$E$11:$I$11</c:f>
              <c:strCache>
                <c:ptCount val="5"/>
                <c:pt idx="0">
                  <c:v>Clareza</c:v>
                </c:pt>
                <c:pt idx="1">
                  <c:v>Legibilidade</c:v>
                </c:pt>
                <c:pt idx="2">
                  <c:v>Precisão</c:v>
                </c:pt>
                <c:pt idx="3">
                  <c:v>Eficácia</c:v>
                </c:pt>
                <c:pt idx="4">
                  <c:v>Completude</c:v>
                </c:pt>
              </c:strCache>
            </c:strRef>
          </c:cat>
          <c:val>
            <c:numRef>
              <c:f>Médias!$E$14:$I$14</c:f>
              <c:numCache>
                <c:formatCode>0.00</c:formatCode>
                <c:ptCount val="5"/>
                <c:pt idx="0">
                  <c:v>4.166666666666667</c:v>
                </c:pt>
                <c:pt idx="1">
                  <c:v>3.3333333333333335</c:v>
                </c:pt>
                <c:pt idx="2">
                  <c:v>4.6111111111111116</c:v>
                </c:pt>
                <c:pt idx="3">
                  <c:v>4.2222222222222223</c:v>
                </c:pt>
                <c:pt idx="4">
                  <c:v>4.8888888888888884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9-4515-9472-5B184004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63599"/>
        <c:axId val="1912469359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Médias!$B$12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Médias!$E$11:$I$11</c15:sqref>
                        </c15:formulaRef>
                      </c:ext>
                    </c:extLst>
                    <c:strCache>
                      <c:ptCount val="5"/>
                      <c:pt idx="0">
                        <c:v>Clareza</c:v>
                      </c:pt>
                      <c:pt idx="1">
                        <c:v>Legibilidade</c:v>
                      </c:pt>
                      <c:pt idx="2">
                        <c:v>Precisão</c:v>
                      </c:pt>
                      <c:pt idx="3">
                        <c:v>Eficácia</c:v>
                      </c:pt>
                      <c:pt idx="4">
                        <c:v>Completude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Médias!$E$12:$I$12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B9-4515-9472-5B184004F412}"/>
                  </c:ext>
                </c:extLst>
              </c15:ser>
            </c15:filteredRadarSeries>
          </c:ext>
        </c:extLst>
      </c:radarChart>
      <c:catAx>
        <c:axId val="191246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469359"/>
        <c:crosses val="autoZero"/>
        <c:auto val="1"/>
        <c:lblAlgn val="ctr"/>
        <c:lblOffset val="100"/>
        <c:noMultiLvlLbl val="0"/>
      </c:catAx>
      <c:valAx>
        <c:axId val="19124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246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Comparação das Métricas Qualitativas por Modelo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Médias!$B$13</c:f>
              <c:strCache>
                <c:ptCount val="1"/>
                <c:pt idx="0">
                  <c:v>ChatGPT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Médias!$E$11:$I$11</c:f>
              <c:strCache>
                <c:ptCount val="5"/>
                <c:pt idx="0">
                  <c:v>Clareza</c:v>
                </c:pt>
                <c:pt idx="1">
                  <c:v>Legibilidade</c:v>
                </c:pt>
                <c:pt idx="2">
                  <c:v>Precisão</c:v>
                </c:pt>
                <c:pt idx="3">
                  <c:v>Eficácia</c:v>
                </c:pt>
                <c:pt idx="4">
                  <c:v>Completude</c:v>
                </c:pt>
              </c:strCache>
            </c:strRef>
          </c:cat>
          <c:val>
            <c:numRef>
              <c:f>Médias!$E$13:$I$13</c:f>
              <c:numCache>
                <c:formatCode>0.00</c:formatCode>
                <c:ptCount val="5"/>
                <c:pt idx="0">
                  <c:v>3.7777777777777772</c:v>
                </c:pt>
                <c:pt idx="1">
                  <c:v>3.6666666666666665</c:v>
                </c:pt>
                <c:pt idx="2">
                  <c:v>3.8888888888888893</c:v>
                </c:pt>
                <c:pt idx="3">
                  <c:v>3.7777777777777781</c:v>
                </c:pt>
                <c:pt idx="4">
                  <c:v>3.9444444444444442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F-4109-85C6-1BD697A8623D}"/>
            </c:ext>
          </c:extLst>
        </c:ser>
        <c:ser>
          <c:idx val="2"/>
          <c:order val="2"/>
          <c:tx>
            <c:strRef>
              <c:f>Médias!$B$14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Médias!$E$11:$I$11</c:f>
              <c:strCache>
                <c:ptCount val="5"/>
                <c:pt idx="0">
                  <c:v>Clareza</c:v>
                </c:pt>
                <c:pt idx="1">
                  <c:v>Legibilidade</c:v>
                </c:pt>
                <c:pt idx="2">
                  <c:v>Precisão</c:v>
                </c:pt>
                <c:pt idx="3">
                  <c:v>Eficácia</c:v>
                </c:pt>
                <c:pt idx="4">
                  <c:v>Completude</c:v>
                </c:pt>
              </c:strCache>
            </c:strRef>
          </c:cat>
          <c:val>
            <c:numRef>
              <c:f>Médias!$E$14:$I$14</c:f>
              <c:numCache>
                <c:formatCode>0.00</c:formatCode>
                <c:ptCount val="5"/>
                <c:pt idx="0">
                  <c:v>4.166666666666667</c:v>
                </c:pt>
                <c:pt idx="1">
                  <c:v>3.3333333333333335</c:v>
                </c:pt>
                <c:pt idx="2">
                  <c:v>4.6111111111111116</c:v>
                </c:pt>
                <c:pt idx="3">
                  <c:v>4.2222222222222223</c:v>
                </c:pt>
                <c:pt idx="4">
                  <c:v>4.8888888888888884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F-4109-85C6-1BD697A86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056847"/>
        <c:axId val="1351058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Médias!$B$12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Médias!$E$11:$I$11</c15:sqref>
                        </c15:formulaRef>
                      </c:ext>
                    </c:extLst>
                    <c:strCache>
                      <c:ptCount val="5"/>
                      <c:pt idx="0">
                        <c:v>Clareza</c:v>
                      </c:pt>
                      <c:pt idx="1">
                        <c:v>Legibilidade</c:v>
                      </c:pt>
                      <c:pt idx="2">
                        <c:v>Precisão</c:v>
                      </c:pt>
                      <c:pt idx="3">
                        <c:v>Eficácia</c:v>
                      </c:pt>
                      <c:pt idx="4">
                        <c:v>Completude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Médias!$E$12:$I$12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80F-4109-85C6-1BD697A8623D}"/>
                  </c:ext>
                </c:extLst>
              </c15:ser>
            </c15:filteredBarSeries>
          </c:ext>
        </c:extLst>
      </c:barChart>
      <c:catAx>
        <c:axId val="135105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058767"/>
        <c:crosses val="autoZero"/>
        <c:auto val="1"/>
        <c:lblAlgn val="ctr"/>
        <c:lblOffset val="100"/>
        <c:noMultiLvlLbl val="0"/>
      </c:catAx>
      <c:valAx>
        <c:axId val="13510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05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Médias!$J$11</c:f>
              <c:strCache>
                <c:ptCount val="1"/>
                <c:pt idx="0">
                  <c:v>Média Qualitativa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Médias!$B$12:$B$14</c:f>
              <c:strCache>
                <c:ptCount val="3"/>
                <c:pt idx="1">
                  <c:v>ChatGPT</c:v>
                </c:pt>
                <c:pt idx="2">
                  <c:v>Gemini</c:v>
                </c:pt>
              </c:strCache>
            </c:strRef>
          </c:cat>
          <c:val>
            <c:numRef>
              <c:f>Médias!$J$12:$J$14</c:f>
              <c:numCache>
                <c:formatCode>0.00</c:formatCode>
                <c:ptCount val="3"/>
                <c:pt idx="1">
                  <c:v>3.8111111111111113</c:v>
                </c:pt>
                <c:pt idx="2">
                  <c:v>4.2444444444444445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8-4A4C-BD5A-FCDD6F3E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064047"/>
        <c:axId val="1351051087"/>
      </c:barChart>
      <c:catAx>
        <c:axId val="135106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051087"/>
        <c:crosses val="autoZero"/>
        <c:auto val="1"/>
        <c:lblAlgn val="ctr"/>
        <c:lblOffset val="100"/>
        <c:noMultiLvlLbl val="0"/>
      </c:catAx>
      <c:valAx>
        <c:axId val="13510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106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21</xdr:row>
      <xdr:rowOff>43543</xdr:rowOff>
    </xdr:from>
    <xdr:to>
      <xdr:col>2</xdr:col>
      <xdr:colOff>632731</xdr:colOff>
      <xdr:row>35</xdr:row>
      <xdr:rowOff>119743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C6AE9-F6F6-FB7F-88A5-E7A33566B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1313089</xdr:colOff>
      <xdr:row>21</xdr:row>
      <xdr:rowOff>84364</xdr:rowOff>
    </xdr:from>
    <xdr:to>
      <xdr:col>3</xdr:col>
      <xdr:colOff>2211161</xdr:colOff>
      <xdr:row>35</xdr:row>
      <xdr:rowOff>160564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C074EA-00F7-F21F-960F-25573964A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360589</xdr:colOff>
      <xdr:row>21</xdr:row>
      <xdr:rowOff>70757</xdr:rowOff>
    </xdr:from>
    <xdr:to>
      <xdr:col>6</xdr:col>
      <xdr:colOff>1313089</xdr:colOff>
      <xdr:row>35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E25C156-71A7-2506-FA06-A87FC5DA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1585232</xdr:colOff>
      <xdr:row>21</xdr:row>
      <xdr:rowOff>97972</xdr:rowOff>
    </xdr:from>
    <xdr:to>
      <xdr:col>9</xdr:col>
      <xdr:colOff>782410</xdr:colOff>
      <xdr:row>35</xdr:row>
      <xdr:rowOff>174172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BC73DBF-96CA-DBD0-6205-2E7D74CC3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782411</xdr:colOff>
      <xdr:row>37</xdr:row>
      <xdr:rowOff>125186</xdr:rowOff>
    </xdr:from>
    <xdr:to>
      <xdr:col>2</xdr:col>
      <xdr:colOff>3095625</xdr:colOff>
      <xdr:row>52</xdr:row>
      <xdr:rowOff>10886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6D68033-D319-2ABB-21CA-972F149BE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zoomScale="55" zoomScaleNormal="55" workbookViewId="0">
      <selection activeCell="Y28" sqref="Y28"/>
    </sheetView>
  </sheetViews>
  <sheetFormatPr defaultRowHeight="21" x14ac:dyDescent="0.35"/>
  <cols>
    <col min="1" max="1" width="31.5703125" customWidth="1"/>
    <col min="2" max="3" width="20" customWidth="1"/>
    <col min="4" max="4" width="35.28515625" style="1" customWidth="1"/>
    <col min="5" max="5" width="21.42578125" style="1" customWidth="1"/>
    <col min="6" max="6" width="15.7109375" style="1" customWidth="1"/>
    <col min="7" max="7" width="20.28515625" style="1" customWidth="1"/>
    <col min="8" max="8" width="14.42578125" style="1" customWidth="1"/>
    <col min="9" max="9" width="16.140625" style="1" customWidth="1"/>
    <col min="10" max="10" width="22.5703125" style="1" customWidth="1"/>
    <col min="11" max="11" width="26.140625" style="1" customWidth="1"/>
    <col min="12" max="12" width="20" customWidth="1"/>
    <col min="13" max="13" width="9.140625" customWidth="1"/>
  </cols>
  <sheetData>
    <row r="1" spans="1:12" ht="16.5" thickTop="1" thickBot="1" x14ac:dyDescent="0.3">
      <c r="A1" s="47" t="s">
        <v>0</v>
      </c>
      <c r="B1" s="47" t="s">
        <v>6</v>
      </c>
      <c r="C1" s="47" t="s">
        <v>7</v>
      </c>
      <c r="D1" s="48" t="s">
        <v>8</v>
      </c>
      <c r="E1" s="48" t="s">
        <v>9</v>
      </c>
      <c r="F1" s="49" t="s">
        <v>1</v>
      </c>
      <c r="G1" s="49" t="s">
        <v>2</v>
      </c>
      <c r="H1" s="49" t="s">
        <v>3</v>
      </c>
      <c r="I1" s="49" t="s">
        <v>4</v>
      </c>
      <c r="J1" s="49" t="s">
        <v>5</v>
      </c>
      <c r="K1" s="50" t="s">
        <v>10</v>
      </c>
      <c r="L1" s="46" t="s">
        <v>11</v>
      </c>
    </row>
    <row r="2" spans="1:12" ht="16.5" thickTop="1" thickBot="1" x14ac:dyDescent="0.3">
      <c r="A2" s="47"/>
      <c r="B2" s="47"/>
      <c r="C2" s="47"/>
      <c r="D2" s="48"/>
      <c r="E2" s="48"/>
      <c r="F2" s="49"/>
      <c r="G2" s="49"/>
      <c r="H2" s="49"/>
      <c r="I2" s="49"/>
      <c r="J2" s="49"/>
      <c r="K2" s="50"/>
      <c r="L2" s="46"/>
    </row>
    <row r="3" spans="1:12" ht="24" customHeight="1" thickTop="1" thickBot="1" x14ac:dyDescent="0.3">
      <c r="A3" s="2" t="s">
        <v>12</v>
      </c>
      <c r="B3" s="2" t="s">
        <v>13</v>
      </c>
      <c r="C3" s="2" t="s">
        <v>14</v>
      </c>
      <c r="D3" s="9">
        <v>4.7777805328369096</v>
      </c>
      <c r="E3" s="10">
        <v>278</v>
      </c>
      <c r="F3" s="10">
        <v>4</v>
      </c>
      <c r="G3" s="10">
        <v>5</v>
      </c>
      <c r="H3" s="10">
        <v>4</v>
      </c>
      <c r="I3" s="10">
        <v>3</v>
      </c>
      <c r="J3" s="10">
        <v>4</v>
      </c>
      <c r="K3" s="23">
        <f>AVERAGE(F3:J3)</f>
        <v>4</v>
      </c>
      <c r="L3" s="2"/>
    </row>
    <row r="4" spans="1:12" ht="24" customHeight="1" thickTop="1" thickBot="1" x14ac:dyDescent="0.3">
      <c r="A4" s="3" t="s">
        <v>12</v>
      </c>
      <c r="B4" s="3" t="s">
        <v>13</v>
      </c>
      <c r="C4" s="3" t="s">
        <v>15</v>
      </c>
      <c r="D4" s="11">
        <v>12.9732518196105</v>
      </c>
      <c r="E4" s="12">
        <v>2728</v>
      </c>
      <c r="F4" s="12">
        <v>5</v>
      </c>
      <c r="G4" s="12">
        <v>4</v>
      </c>
      <c r="H4" s="12">
        <v>5</v>
      </c>
      <c r="I4" s="12">
        <v>5</v>
      </c>
      <c r="J4" s="12">
        <v>5</v>
      </c>
      <c r="K4" s="24">
        <f t="shared" ref="K4:K38" si="0">AVERAGE(F4:J4)</f>
        <v>4.8</v>
      </c>
      <c r="L4" s="3"/>
    </row>
    <row r="5" spans="1:12" ht="24" customHeight="1" thickTop="1" thickBot="1" x14ac:dyDescent="0.3">
      <c r="A5" s="4" t="s">
        <v>12</v>
      </c>
      <c r="B5" s="4" t="s">
        <v>16</v>
      </c>
      <c r="C5" s="4" t="s">
        <v>14</v>
      </c>
      <c r="D5" s="13">
        <v>6.6721010208129803</v>
      </c>
      <c r="E5" s="14">
        <v>539</v>
      </c>
      <c r="F5" s="14">
        <v>4</v>
      </c>
      <c r="G5" s="14">
        <v>3</v>
      </c>
      <c r="H5" s="14">
        <v>4</v>
      </c>
      <c r="I5" s="14">
        <v>2</v>
      </c>
      <c r="J5" s="14">
        <v>3</v>
      </c>
      <c r="K5" s="23">
        <f t="shared" si="0"/>
        <v>3.2</v>
      </c>
      <c r="L5" s="4"/>
    </row>
    <row r="6" spans="1:12" ht="24" customHeight="1" thickTop="1" thickBot="1" x14ac:dyDescent="0.3">
      <c r="A6" s="3" t="s">
        <v>12</v>
      </c>
      <c r="B6" s="3" t="s">
        <v>16</v>
      </c>
      <c r="C6" s="3" t="s">
        <v>15</v>
      </c>
      <c r="D6" s="11">
        <f>27.0161156654357</f>
        <v>27.016115665435699</v>
      </c>
      <c r="E6" s="12">
        <v>6087</v>
      </c>
      <c r="F6" s="12">
        <v>2</v>
      </c>
      <c r="G6" s="12">
        <v>1</v>
      </c>
      <c r="H6" s="12">
        <v>4</v>
      </c>
      <c r="I6" s="12">
        <v>4</v>
      </c>
      <c r="J6" s="12">
        <v>4</v>
      </c>
      <c r="K6" s="24">
        <f t="shared" si="0"/>
        <v>3</v>
      </c>
      <c r="L6" s="3"/>
    </row>
    <row r="7" spans="1:12" ht="24" customHeight="1" thickTop="1" thickBot="1" x14ac:dyDescent="0.3">
      <c r="A7" s="4" t="s">
        <v>12</v>
      </c>
      <c r="B7" s="4" t="s">
        <v>17</v>
      </c>
      <c r="C7" s="4" t="s">
        <v>14</v>
      </c>
      <c r="D7" s="13">
        <v>8.9151785373687709</v>
      </c>
      <c r="E7" s="14">
        <v>534</v>
      </c>
      <c r="F7" s="14">
        <v>5</v>
      </c>
      <c r="G7" s="14">
        <v>5</v>
      </c>
      <c r="H7" s="14">
        <v>4</v>
      </c>
      <c r="I7" s="14">
        <v>4</v>
      </c>
      <c r="J7" s="14">
        <v>4</v>
      </c>
      <c r="K7" s="23">
        <f t="shared" si="0"/>
        <v>4.4000000000000004</v>
      </c>
      <c r="L7" s="4"/>
    </row>
    <row r="8" spans="1:12" ht="24" customHeight="1" thickTop="1" thickBot="1" x14ac:dyDescent="0.3">
      <c r="A8" s="3" t="s">
        <v>12</v>
      </c>
      <c r="B8" s="3" t="s">
        <v>17</v>
      </c>
      <c r="C8" s="3" t="s">
        <v>15</v>
      </c>
      <c r="D8" s="11">
        <f>20.206713438034</f>
        <v>20.206713438034001</v>
      </c>
      <c r="E8" s="12">
        <v>3774</v>
      </c>
      <c r="F8" s="12">
        <v>2</v>
      </c>
      <c r="G8" s="12">
        <v>2</v>
      </c>
      <c r="H8" s="12">
        <v>5</v>
      </c>
      <c r="I8" s="12">
        <v>4</v>
      </c>
      <c r="J8" s="12">
        <v>5</v>
      </c>
      <c r="K8" s="24">
        <f t="shared" si="0"/>
        <v>3.6</v>
      </c>
      <c r="L8" s="3"/>
    </row>
    <row r="9" spans="1:12" ht="24" customHeight="1" thickTop="1" thickBot="1" x14ac:dyDescent="0.3">
      <c r="A9" s="4" t="s">
        <v>12</v>
      </c>
      <c r="B9" s="4" t="s">
        <v>18</v>
      </c>
      <c r="C9" s="4" t="s">
        <v>14</v>
      </c>
      <c r="D9" s="13">
        <v>11.4015245437622</v>
      </c>
      <c r="E9" s="14">
        <v>474</v>
      </c>
      <c r="F9" s="14">
        <v>4</v>
      </c>
      <c r="G9" s="14">
        <v>2</v>
      </c>
      <c r="H9" s="14">
        <v>4</v>
      </c>
      <c r="I9" s="14">
        <v>3</v>
      </c>
      <c r="J9" s="14">
        <v>4</v>
      </c>
      <c r="K9" s="23">
        <f t="shared" si="0"/>
        <v>3.4</v>
      </c>
      <c r="L9" s="4"/>
    </row>
    <row r="10" spans="1:12" ht="24" customHeight="1" thickTop="1" thickBot="1" x14ac:dyDescent="0.3">
      <c r="A10" s="3" t="s">
        <v>12</v>
      </c>
      <c r="B10" s="3" t="s">
        <v>18</v>
      </c>
      <c r="C10" s="3" t="s">
        <v>15</v>
      </c>
      <c r="D10" s="11">
        <v>26.795651435852001</v>
      </c>
      <c r="E10" s="12">
        <v>4603</v>
      </c>
      <c r="F10" s="12">
        <v>5</v>
      </c>
      <c r="G10" s="12">
        <v>3</v>
      </c>
      <c r="H10" s="12">
        <v>4</v>
      </c>
      <c r="I10" s="12">
        <v>4</v>
      </c>
      <c r="J10" s="12">
        <v>5</v>
      </c>
      <c r="K10" s="24">
        <f t="shared" si="0"/>
        <v>4.2</v>
      </c>
      <c r="L10" s="3"/>
    </row>
    <row r="11" spans="1:12" ht="24" customHeight="1" thickTop="1" thickBot="1" x14ac:dyDescent="0.3">
      <c r="A11" s="4" t="s">
        <v>12</v>
      </c>
      <c r="B11" s="4" t="s">
        <v>19</v>
      </c>
      <c r="C11" s="4" t="s">
        <v>14</v>
      </c>
      <c r="D11" s="13">
        <v>16.5458309650421</v>
      </c>
      <c r="E11" s="14">
        <v>1296</v>
      </c>
      <c r="F11" s="14">
        <v>1</v>
      </c>
      <c r="G11" s="14">
        <v>2</v>
      </c>
      <c r="H11" s="14">
        <v>2</v>
      </c>
      <c r="I11" s="14">
        <v>3</v>
      </c>
      <c r="J11" s="14">
        <v>3</v>
      </c>
      <c r="K11" s="23">
        <f t="shared" si="0"/>
        <v>2.2000000000000002</v>
      </c>
      <c r="L11" s="4"/>
    </row>
    <row r="12" spans="1:12" ht="24" customHeight="1" thickTop="1" thickBot="1" x14ac:dyDescent="0.3">
      <c r="A12" s="3" t="s">
        <v>12</v>
      </c>
      <c r="B12" s="3" t="s">
        <v>19</v>
      </c>
      <c r="C12" s="3" t="s">
        <v>15</v>
      </c>
      <c r="D12" s="11">
        <f>29.9051523208618</f>
        <v>29.905152320861799</v>
      </c>
      <c r="E12" s="12">
        <v>6481</v>
      </c>
      <c r="F12" s="12">
        <v>5</v>
      </c>
      <c r="G12" s="12">
        <v>5</v>
      </c>
      <c r="H12" s="12">
        <v>5</v>
      </c>
      <c r="I12" s="12">
        <v>5</v>
      </c>
      <c r="J12" s="12">
        <v>5</v>
      </c>
      <c r="K12" s="24">
        <f t="shared" si="0"/>
        <v>5</v>
      </c>
      <c r="L12" s="3"/>
    </row>
    <row r="13" spans="1:12" ht="24" customHeight="1" thickTop="1" thickBot="1" x14ac:dyDescent="0.3">
      <c r="A13" s="4" t="s">
        <v>12</v>
      </c>
      <c r="B13" s="4" t="s">
        <v>20</v>
      </c>
      <c r="C13" s="4" t="s">
        <v>14</v>
      </c>
      <c r="D13" s="13">
        <v>14.9933738708496</v>
      </c>
      <c r="E13" s="14">
        <v>1130</v>
      </c>
      <c r="F13" s="14">
        <v>2</v>
      </c>
      <c r="G13" s="14">
        <v>2</v>
      </c>
      <c r="H13" s="14">
        <v>2</v>
      </c>
      <c r="I13" s="14">
        <v>3</v>
      </c>
      <c r="J13" s="14">
        <v>3</v>
      </c>
      <c r="K13" s="23">
        <f t="shared" si="0"/>
        <v>2.4</v>
      </c>
      <c r="L13" s="4"/>
    </row>
    <row r="14" spans="1:12" ht="24" customHeight="1" thickTop="1" thickBot="1" x14ac:dyDescent="0.3">
      <c r="A14" s="34" t="s">
        <v>12</v>
      </c>
      <c r="B14" s="34" t="s">
        <v>20</v>
      </c>
      <c r="C14" s="34" t="s">
        <v>15</v>
      </c>
      <c r="D14" s="35">
        <f>29.4951126575469</f>
        <v>29.495112657546901</v>
      </c>
      <c r="E14" s="36">
        <v>6290</v>
      </c>
      <c r="F14" s="36">
        <v>5</v>
      </c>
      <c r="G14" s="36">
        <v>5</v>
      </c>
      <c r="H14" s="36">
        <v>5</v>
      </c>
      <c r="I14" s="36">
        <v>5</v>
      </c>
      <c r="J14" s="36">
        <v>5</v>
      </c>
      <c r="K14" s="25">
        <f t="shared" si="0"/>
        <v>5</v>
      </c>
      <c r="L14" s="34"/>
    </row>
    <row r="15" spans="1:12" ht="24" customHeight="1" thickTop="1" thickBot="1" x14ac:dyDescent="0.3">
      <c r="A15" s="37" t="s">
        <v>21</v>
      </c>
      <c r="B15" s="5" t="s">
        <v>13</v>
      </c>
      <c r="C15" s="5" t="s">
        <v>14</v>
      </c>
      <c r="D15" s="15">
        <f>5.4935975074768</f>
        <v>5.4935975074768004</v>
      </c>
      <c r="E15" s="16">
        <f>296</f>
        <v>296</v>
      </c>
      <c r="F15" s="16">
        <v>4</v>
      </c>
      <c r="G15" s="16">
        <v>3</v>
      </c>
      <c r="H15" s="16">
        <v>4</v>
      </c>
      <c r="I15" s="16">
        <v>4</v>
      </c>
      <c r="J15" s="16">
        <v>4</v>
      </c>
      <c r="K15" s="26">
        <f t="shared" si="0"/>
        <v>3.8</v>
      </c>
      <c r="L15" s="5"/>
    </row>
    <row r="16" spans="1:12" ht="24" customHeight="1" thickTop="1" thickBot="1" x14ac:dyDescent="0.3">
      <c r="A16" s="38" t="s">
        <v>21</v>
      </c>
      <c r="B16" s="6" t="s">
        <v>13</v>
      </c>
      <c r="C16" s="6" t="s">
        <v>15</v>
      </c>
      <c r="D16" s="17">
        <f>11.5122606754302</f>
        <v>11.5122606754302</v>
      </c>
      <c r="E16" s="18">
        <f>2103</f>
        <v>2103</v>
      </c>
      <c r="F16" s="18">
        <v>3</v>
      </c>
      <c r="G16" s="18">
        <v>3</v>
      </c>
      <c r="H16" s="18">
        <v>4</v>
      </c>
      <c r="I16" s="18">
        <v>3</v>
      </c>
      <c r="J16" s="18">
        <v>5</v>
      </c>
      <c r="K16" s="27">
        <f t="shared" si="0"/>
        <v>3.6</v>
      </c>
      <c r="L16" s="6"/>
    </row>
    <row r="17" spans="1:12" ht="24" customHeight="1" thickTop="1" thickBot="1" x14ac:dyDescent="0.3">
      <c r="A17" s="37" t="s">
        <v>21</v>
      </c>
      <c r="B17" s="5" t="s">
        <v>16</v>
      </c>
      <c r="C17" s="5" t="s">
        <v>14</v>
      </c>
      <c r="D17" s="15">
        <f>7.4608724117279</f>
        <v>7.4608724117278999</v>
      </c>
      <c r="E17" s="16">
        <f>487</f>
        <v>487</v>
      </c>
      <c r="F17" s="16">
        <v>2</v>
      </c>
      <c r="G17" s="16">
        <v>3</v>
      </c>
      <c r="H17" s="16">
        <v>3</v>
      </c>
      <c r="I17" s="16">
        <v>3</v>
      </c>
      <c r="J17" s="16">
        <v>3</v>
      </c>
      <c r="K17" s="26">
        <f t="shared" si="0"/>
        <v>2.8</v>
      </c>
      <c r="L17" s="5"/>
    </row>
    <row r="18" spans="1:12" ht="24" customHeight="1" thickTop="1" thickBot="1" x14ac:dyDescent="0.3">
      <c r="A18" s="38" t="s">
        <v>21</v>
      </c>
      <c r="B18" s="6" t="s">
        <v>16</v>
      </c>
      <c r="C18" s="6" t="s">
        <v>15</v>
      </c>
      <c r="D18" s="17">
        <f>17.1405982971191</f>
        <v>17.140598297119102</v>
      </c>
      <c r="E18" s="18">
        <f>3622</f>
        <v>3622</v>
      </c>
      <c r="F18" s="18">
        <v>4</v>
      </c>
      <c r="G18" s="18">
        <v>4</v>
      </c>
      <c r="H18" s="18">
        <v>5</v>
      </c>
      <c r="I18" s="18">
        <v>5</v>
      </c>
      <c r="J18" s="18">
        <v>5</v>
      </c>
      <c r="K18" s="27">
        <f t="shared" si="0"/>
        <v>4.5999999999999996</v>
      </c>
      <c r="L18" s="6"/>
    </row>
    <row r="19" spans="1:12" ht="24" customHeight="1" thickTop="1" thickBot="1" x14ac:dyDescent="0.3">
      <c r="A19" s="37" t="s">
        <v>21</v>
      </c>
      <c r="B19" s="5" t="s">
        <v>17</v>
      </c>
      <c r="C19" s="5" t="s">
        <v>14</v>
      </c>
      <c r="D19" s="15">
        <f>5.71562147140502</f>
        <v>5.7156214714050204</v>
      </c>
      <c r="E19" s="16">
        <f>587</f>
        <v>587</v>
      </c>
      <c r="F19" s="16">
        <v>5</v>
      </c>
      <c r="G19" s="16">
        <v>5</v>
      </c>
      <c r="H19" s="16">
        <v>5</v>
      </c>
      <c r="I19" s="16">
        <v>5</v>
      </c>
      <c r="J19" s="16">
        <v>5</v>
      </c>
      <c r="K19" s="26">
        <f t="shared" si="0"/>
        <v>5</v>
      </c>
      <c r="L19" s="5"/>
    </row>
    <row r="20" spans="1:12" ht="24" customHeight="1" thickTop="1" thickBot="1" x14ac:dyDescent="0.3">
      <c r="A20" s="38" t="s">
        <v>21</v>
      </c>
      <c r="B20" s="6" t="s">
        <v>17</v>
      </c>
      <c r="C20" s="6" t="s">
        <v>15</v>
      </c>
      <c r="D20" s="17">
        <f>13.7225394248962</f>
        <v>13.722539424896199</v>
      </c>
      <c r="E20" s="18">
        <f>2453</f>
        <v>2453</v>
      </c>
      <c r="F20" s="18">
        <v>3</v>
      </c>
      <c r="G20" s="18">
        <v>3</v>
      </c>
      <c r="H20" s="18">
        <v>3</v>
      </c>
      <c r="I20" s="18">
        <v>3</v>
      </c>
      <c r="J20" s="18">
        <v>5</v>
      </c>
      <c r="K20" s="27">
        <f t="shared" si="0"/>
        <v>3.4</v>
      </c>
      <c r="L20" s="6"/>
    </row>
    <row r="21" spans="1:12" ht="24" customHeight="1" thickTop="1" thickBot="1" x14ac:dyDescent="0.3">
      <c r="A21" s="37" t="s">
        <v>21</v>
      </c>
      <c r="B21" s="5" t="s">
        <v>18</v>
      </c>
      <c r="C21" s="5" t="s">
        <v>14</v>
      </c>
      <c r="D21" s="15">
        <f>4.62438702583313</f>
        <v>4.6243870258331299</v>
      </c>
      <c r="E21" s="16">
        <f>407</f>
        <v>407</v>
      </c>
      <c r="F21" s="16">
        <v>4</v>
      </c>
      <c r="G21" s="16">
        <v>4</v>
      </c>
      <c r="H21" s="16">
        <v>4</v>
      </c>
      <c r="I21" s="16">
        <v>4</v>
      </c>
      <c r="J21" s="16">
        <v>3</v>
      </c>
      <c r="K21" s="26">
        <f t="shared" si="0"/>
        <v>3.8</v>
      </c>
      <c r="L21" s="5"/>
    </row>
    <row r="22" spans="1:12" ht="24" customHeight="1" thickTop="1" thickBot="1" x14ac:dyDescent="0.3">
      <c r="A22" s="38" t="s">
        <v>21</v>
      </c>
      <c r="B22" s="6" t="s">
        <v>18</v>
      </c>
      <c r="C22" s="6" t="s">
        <v>15</v>
      </c>
      <c r="D22" s="17">
        <f>11.742113828659</f>
        <v>11.742113828659001</v>
      </c>
      <c r="E22" s="18">
        <f>2308</f>
        <v>2308</v>
      </c>
      <c r="F22" s="18">
        <v>5</v>
      </c>
      <c r="G22" s="18">
        <v>2</v>
      </c>
      <c r="H22" s="18">
        <v>5</v>
      </c>
      <c r="I22" s="18">
        <v>5</v>
      </c>
      <c r="J22" s="18">
        <v>4</v>
      </c>
      <c r="K22" s="27">
        <f t="shared" si="0"/>
        <v>4.2</v>
      </c>
      <c r="L22" s="6"/>
    </row>
    <row r="23" spans="1:12" ht="24" customHeight="1" thickTop="1" thickBot="1" x14ac:dyDescent="0.3">
      <c r="A23" s="37" t="s">
        <v>21</v>
      </c>
      <c r="B23" s="5" t="s">
        <v>19</v>
      </c>
      <c r="C23" s="5" t="s">
        <v>14</v>
      </c>
      <c r="D23" s="15">
        <f>5.17098975181579</f>
        <v>5.1709897518157897</v>
      </c>
      <c r="E23" s="16">
        <f>409</f>
        <v>409</v>
      </c>
      <c r="F23" s="16">
        <v>4</v>
      </c>
      <c r="G23" s="16">
        <v>4</v>
      </c>
      <c r="H23" s="16">
        <v>5</v>
      </c>
      <c r="I23" s="16">
        <v>5</v>
      </c>
      <c r="J23" s="16">
        <v>5</v>
      </c>
      <c r="K23" s="26">
        <f t="shared" si="0"/>
        <v>4.5999999999999996</v>
      </c>
      <c r="L23" s="5"/>
    </row>
    <row r="24" spans="1:12" ht="24" customHeight="1" thickTop="1" thickBot="1" x14ac:dyDescent="0.3">
      <c r="A24" s="38" t="s">
        <v>21</v>
      </c>
      <c r="B24" s="6" t="s">
        <v>19</v>
      </c>
      <c r="C24" s="6" t="s">
        <v>15</v>
      </c>
      <c r="D24" s="17">
        <f>9.23040223121643</f>
        <v>9.2304022312164307</v>
      </c>
      <c r="E24" s="18">
        <f>2015</f>
        <v>2015</v>
      </c>
      <c r="F24" s="18">
        <v>5</v>
      </c>
      <c r="G24" s="18">
        <v>3</v>
      </c>
      <c r="H24" s="18">
        <v>3</v>
      </c>
      <c r="I24" s="18">
        <v>3</v>
      </c>
      <c r="J24" s="18">
        <v>5</v>
      </c>
      <c r="K24" s="27">
        <f t="shared" si="0"/>
        <v>3.8</v>
      </c>
      <c r="L24" s="6"/>
    </row>
    <row r="25" spans="1:12" ht="24" customHeight="1" thickTop="1" thickBot="1" x14ac:dyDescent="0.3">
      <c r="A25" s="37" t="s">
        <v>21</v>
      </c>
      <c r="B25" s="5" t="s">
        <v>20</v>
      </c>
      <c r="C25" s="5" t="s">
        <v>14</v>
      </c>
      <c r="D25" s="15">
        <f>9.50118470191955</f>
        <v>9.5011847019195503</v>
      </c>
      <c r="E25" s="16">
        <f>567</f>
        <v>567</v>
      </c>
      <c r="F25" s="16">
        <v>3</v>
      </c>
      <c r="G25" s="16">
        <v>2</v>
      </c>
      <c r="H25" s="16">
        <v>4</v>
      </c>
      <c r="I25" s="16">
        <v>4</v>
      </c>
      <c r="J25" s="16">
        <v>4</v>
      </c>
      <c r="K25" s="26">
        <f t="shared" si="0"/>
        <v>3.4</v>
      </c>
      <c r="L25" s="5"/>
    </row>
    <row r="26" spans="1:12" ht="24" customHeight="1" thickTop="1" thickBot="1" x14ac:dyDescent="0.3">
      <c r="A26" s="39" t="s">
        <v>21</v>
      </c>
      <c r="B26" s="6" t="s">
        <v>20</v>
      </c>
      <c r="C26" s="6" t="s">
        <v>15</v>
      </c>
      <c r="D26" s="17">
        <f>13.8931121826171</f>
        <v>13.8931121826171</v>
      </c>
      <c r="E26" s="18">
        <f>2884</f>
        <v>2884</v>
      </c>
      <c r="F26" s="18">
        <v>5</v>
      </c>
      <c r="G26" s="18">
        <v>5</v>
      </c>
      <c r="H26" s="18">
        <v>5</v>
      </c>
      <c r="I26" s="18">
        <v>5</v>
      </c>
      <c r="J26" s="18">
        <v>5</v>
      </c>
      <c r="K26" s="27">
        <f t="shared" si="0"/>
        <v>5</v>
      </c>
      <c r="L26" s="6"/>
    </row>
    <row r="27" spans="1:12" ht="24" customHeight="1" thickTop="1" thickBot="1" x14ac:dyDescent="0.3">
      <c r="A27" s="7" t="s">
        <v>22</v>
      </c>
      <c r="B27" s="40" t="s">
        <v>13</v>
      </c>
      <c r="C27" s="40" t="s">
        <v>14</v>
      </c>
      <c r="D27" s="41">
        <f>9.44440984725952</f>
        <v>9.4444098472595197</v>
      </c>
      <c r="E27" s="42">
        <f>594</f>
        <v>594</v>
      </c>
      <c r="F27" s="42">
        <v>4</v>
      </c>
      <c r="G27" s="42">
        <v>5</v>
      </c>
      <c r="H27" s="42">
        <v>4</v>
      </c>
      <c r="I27" s="42">
        <v>4</v>
      </c>
      <c r="J27" s="42">
        <v>4</v>
      </c>
      <c r="K27" s="28">
        <f t="shared" si="0"/>
        <v>4.2</v>
      </c>
      <c r="L27" s="40"/>
    </row>
    <row r="28" spans="1:12" ht="24" customHeight="1" thickTop="1" thickBot="1" x14ac:dyDescent="0.3">
      <c r="A28" s="8" t="s">
        <v>22</v>
      </c>
      <c r="B28" s="8" t="s">
        <v>13</v>
      </c>
      <c r="C28" s="8" t="s">
        <v>15</v>
      </c>
      <c r="D28" s="21">
        <f>18.1894650459289</f>
        <v>18.189465045928898</v>
      </c>
      <c r="E28" s="22">
        <f>3461</f>
        <v>3461</v>
      </c>
      <c r="F28" s="22">
        <v>5</v>
      </c>
      <c r="G28" s="22">
        <v>5</v>
      </c>
      <c r="H28" s="22">
        <v>5</v>
      </c>
      <c r="I28" s="22">
        <v>5</v>
      </c>
      <c r="J28" s="22">
        <v>5</v>
      </c>
      <c r="K28" s="29">
        <f t="shared" si="0"/>
        <v>5</v>
      </c>
      <c r="L28" s="8"/>
    </row>
    <row r="29" spans="1:12" ht="24" customHeight="1" thickTop="1" thickBot="1" x14ac:dyDescent="0.3">
      <c r="A29" s="7" t="s">
        <v>22</v>
      </c>
      <c r="B29" s="7" t="s">
        <v>16</v>
      </c>
      <c r="C29" s="7" t="s">
        <v>14</v>
      </c>
      <c r="D29" s="19">
        <f>10.6401486396789</f>
        <v>10.6401486396789</v>
      </c>
      <c r="E29" s="20">
        <f>792</f>
        <v>792</v>
      </c>
      <c r="F29" s="20">
        <v>4</v>
      </c>
      <c r="G29" s="20">
        <v>4</v>
      </c>
      <c r="H29" s="20">
        <v>4</v>
      </c>
      <c r="I29" s="20">
        <v>4</v>
      </c>
      <c r="J29" s="20">
        <v>5</v>
      </c>
      <c r="K29" s="30">
        <f t="shared" si="0"/>
        <v>4.2</v>
      </c>
      <c r="L29" s="7"/>
    </row>
    <row r="30" spans="1:12" ht="24" customHeight="1" thickTop="1" thickBot="1" x14ac:dyDescent="0.3">
      <c r="A30" s="8" t="s">
        <v>22</v>
      </c>
      <c r="B30" s="8" t="s">
        <v>16</v>
      </c>
      <c r="C30" s="8" t="s">
        <v>15</v>
      </c>
      <c r="D30" s="21">
        <f>15.7506413459777</f>
        <v>15.7506413459777</v>
      </c>
      <c r="E30" s="22">
        <f>3739</f>
        <v>3739</v>
      </c>
      <c r="F30" s="22">
        <v>5</v>
      </c>
      <c r="G30" s="22">
        <v>3</v>
      </c>
      <c r="H30" s="22">
        <v>5</v>
      </c>
      <c r="I30" s="22">
        <v>4</v>
      </c>
      <c r="J30" s="22">
        <v>5</v>
      </c>
      <c r="K30" s="29">
        <f t="shared" si="0"/>
        <v>4.4000000000000004</v>
      </c>
      <c r="L30" s="8"/>
    </row>
    <row r="31" spans="1:12" ht="24" customHeight="1" thickTop="1" thickBot="1" x14ac:dyDescent="0.3">
      <c r="A31" s="7" t="s">
        <v>22</v>
      </c>
      <c r="B31" s="7" t="s">
        <v>17</v>
      </c>
      <c r="C31" s="7" t="s">
        <v>14</v>
      </c>
      <c r="D31" s="19">
        <f>9.42396879196167</f>
        <v>9.4239687919616699</v>
      </c>
      <c r="E31" s="20">
        <f>564</f>
        <v>564</v>
      </c>
      <c r="F31" s="20">
        <v>5</v>
      </c>
      <c r="G31" s="20">
        <v>5</v>
      </c>
      <c r="H31" s="20">
        <v>4</v>
      </c>
      <c r="I31" s="20">
        <v>5</v>
      </c>
      <c r="J31" s="20">
        <v>5</v>
      </c>
      <c r="K31" s="30">
        <f t="shared" si="0"/>
        <v>4.8</v>
      </c>
      <c r="L31" s="7"/>
    </row>
    <row r="32" spans="1:12" ht="24" customHeight="1" thickTop="1" thickBot="1" x14ac:dyDescent="0.3">
      <c r="A32" s="8" t="s">
        <v>22</v>
      </c>
      <c r="B32" s="8" t="s">
        <v>17</v>
      </c>
      <c r="C32" s="8" t="s">
        <v>15</v>
      </c>
      <c r="D32" s="21">
        <f>12.0713942050933</f>
        <v>12.0713942050933</v>
      </c>
      <c r="E32" s="22">
        <f>2809</f>
        <v>2809</v>
      </c>
      <c r="F32" s="22">
        <v>4</v>
      </c>
      <c r="G32" s="22">
        <v>3</v>
      </c>
      <c r="H32" s="22">
        <v>5</v>
      </c>
      <c r="I32" s="22">
        <v>4</v>
      </c>
      <c r="J32" s="22">
        <v>5</v>
      </c>
      <c r="K32" s="29">
        <f t="shared" si="0"/>
        <v>4.2</v>
      </c>
      <c r="L32" s="8"/>
    </row>
    <row r="33" spans="1:12" ht="24" customHeight="1" thickTop="1" thickBot="1" x14ac:dyDescent="0.3">
      <c r="A33" s="7" t="s">
        <v>22</v>
      </c>
      <c r="B33" s="7" t="s">
        <v>18</v>
      </c>
      <c r="C33" s="7" t="s">
        <v>14</v>
      </c>
      <c r="D33" s="19">
        <f>5.44181251525878</f>
        <v>5.4418125152587802</v>
      </c>
      <c r="E33" s="20">
        <f>438</f>
        <v>438</v>
      </c>
      <c r="F33" s="20">
        <v>4</v>
      </c>
      <c r="G33" s="20">
        <v>3</v>
      </c>
      <c r="H33" s="20">
        <v>4</v>
      </c>
      <c r="I33" s="20">
        <v>3</v>
      </c>
      <c r="J33" s="20">
        <v>4</v>
      </c>
      <c r="K33" s="30">
        <f t="shared" si="0"/>
        <v>3.6</v>
      </c>
      <c r="L33" s="7"/>
    </row>
    <row r="34" spans="1:12" ht="24" customHeight="1" thickTop="1" thickBot="1" x14ac:dyDescent="0.3">
      <c r="A34" s="8" t="s">
        <v>22</v>
      </c>
      <c r="B34" s="8" t="s">
        <v>18</v>
      </c>
      <c r="C34" s="8" t="s">
        <v>15</v>
      </c>
      <c r="D34" s="21">
        <f>10.6061737537384</f>
        <v>10.6061737537384</v>
      </c>
      <c r="E34" s="22">
        <f>2204</f>
        <v>2204</v>
      </c>
      <c r="F34" s="22">
        <v>4</v>
      </c>
      <c r="G34" s="22">
        <v>4</v>
      </c>
      <c r="H34" s="22">
        <v>5</v>
      </c>
      <c r="I34" s="22">
        <v>4</v>
      </c>
      <c r="J34" s="22">
        <v>5</v>
      </c>
      <c r="K34" s="29">
        <f t="shared" si="0"/>
        <v>4.4000000000000004</v>
      </c>
      <c r="L34" s="8"/>
    </row>
    <row r="35" spans="1:12" ht="24" customHeight="1" thickTop="1" thickBot="1" x14ac:dyDescent="0.3">
      <c r="A35" s="7" t="s">
        <v>22</v>
      </c>
      <c r="B35" s="7" t="s">
        <v>19</v>
      </c>
      <c r="C35" s="7" t="s">
        <v>14</v>
      </c>
      <c r="D35" s="19">
        <f>8.99216413497924</f>
        <v>8.9921641349792392</v>
      </c>
      <c r="E35" s="20">
        <f>607</f>
        <v>607</v>
      </c>
      <c r="F35" s="20">
        <v>4</v>
      </c>
      <c r="G35" s="20">
        <v>4</v>
      </c>
      <c r="H35" s="20">
        <v>4</v>
      </c>
      <c r="I35" s="20">
        <v>4</v>
      </c>
      <c r="J35" s="20">
        <v>4</v>
      </c>
      <c r="K35" s="30">
        <f t="shared" si="0"/>
        <v>4</v>
      </c>
      <c r="L35" s="7"/>
    </row>
    <row r="36" spans="1:12" ht="24" customHeight="1" thickTop="1" thickBot="1" x14ac:dyDescent="0.3">
      <c r="A36" s="8" t="s">
        <v>22</v>
      </c>
      <c r="B36" s="8" t="s">
        <v>19</v>
      </c>
      <c r="C36" s="8" t="s">
        <v>15</v>
      </c>
      <c r="D36" s="21">
        <f>12.804221868515</f>
        <v>12.804221868515</v>
      </c>
      <c r="E36" s="22">
        <f>2713</f>
        <v>2713</v>
      </c>
      <c r="F36" s="22">
        <v>5</v>
      </c>
      <c r="G36" s="22">
        <v>3</v>
      </c>
      <c r="H36" s="22">
        <v>5</v>
      </c>
      <c r="I36" s="22">
        <v>5</v>
      </c>
      <c r="J36" s="22">
        <v>5</v>
      </c>
      <c r="K36" s="29">
        <f t="shared" si="0"/>
        <v>4.5999999999999996</v>
      </c>
      <c r="L36" s="8"/>
    </row>
    <row r="37" spans="1:12" ht="24" customHeight="1" thickTop="1" thickBot="1" x14ac:dyDescent="0.3">
      <c r="A37" s="7" t="s">
        <v>22</v>
      </c>
      <c r="B37" s="7" t="s">
        <v>20</v>
      </c>
      <c r="C37" s="7" t="s">
        <v>14</v>
      </c>
      <c r="D37" s="19">
        <f>14.4236648082733</f>
        <v>14.423664808273299</v>
      </c>
      <c r="E37" s="20">
        <f>1170</f>
        <v>1170</v>
      </c>
      <c r="F37" s="20">
        <v>5</v>
      </c>
      <c r="G37" s="20">
        <v>5</v>
      </c>
      <c r="H37" s="20">
        <v>5</v>
      </c>
      <c r="I37" s="20">
        <v>5</v>
      </c>
      <c r="J37" s="20">
        <v>4</v>
      </c>
      <c r="K37" s="30">
        <f t="shared" si="0"/>
        <v>4.8</v>
      </c>
      <c r="L37" s="7"/>
    </row>
    <row r="38" spans="1:12" ht="24" customHeight="1" thickTop="1" thickBot="1" x14ac:dyDescent="0.3">
      <c r="A38" s="8" t="s">
        <v>22</v>
      </c>
      <c r="B38" s="8" t="s">
        <v>20</v>
      </c>
      <c r="C38" s="8" t="s">
        <v>15</v>
      </c>
      <c r="D38" s="21">
        <f>17.3012948036193</f>
        <v>17.3012948036193</v>
      </c>
      <c r="E38" s="22">
        <f>3858</f>
        <v>3858</v>
      </c>
      <c r="F38" s="22">
        <v>3</v>
      </c>
      <c r="G38" s="22">
        <v>2</v>
      </c>
      <c r="H38" s="22">
        <v>5</v>
      </c>
      <c r="I38" s="22">
        <v>3</v>
      </c>
      <c r="J38" s="22">
        <v>5</v>
      </c>
      <c r="K38" s="29">
        <f t="shared" si="0"/>
        <v>3.6</v>
      </c>
      <c r="L38" s="8"/>
    </row>
    <row r="39" spans="1:12" ht="21.75" thickTop="1" x14ac:dyDescent="0.35"/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65AE-114A-4037-8B93-9633BFE8280D}">
  <dimension ref="A1:J16"/>
  <sheetViews>
    <sheetView topLeftCell="A12" zoomScale="70" zoomScaleNormal="70" workbookViewId="0">
      <selection activeCell="J47" sqref="J47"/>
    </sheetView>
  </sheetViews>
  <sheetFormatPr defaultRowHeight="15" x14ac:dyDescent="0.25"/>
  <cols>
    <col min="1" max="1" width="28.7109375" customWidth="1"/>
    <col min="2" max="2" width="33.85546875" customWidth="1"/>
    <col min="3" max="3" width="55.140625" customWidth="1"/>
    <col min="4" max="4" width="38.42578125" customWidth="1"/>
    <col min="5" max="5" width="23.42578125" customWidth="1"/>
    <col min="6" max="6" width="30.7109375" customWidth="1"/>
    <col min="7" max="7" width="26.140625" customWidth="1"/>
    <col min="8" max="8" width="26.7109375" customWidth="1"/>
    <col min="9" max="9" width="27.7109375" customWidth="1"/>
    <col min="10" max="10" width="47.140625" customWidth="1"/>
  </cols>
  <sheetData>
    <row r="1" spans="1:10" ht="16.5" customHeight="1" x14ac:dyDescent="0.25">
      <c r="A1" s="59" t="s">
        <v>24</v>
      </c>
      <c r="B1" s="59" t="s">
        <v>23</v>
      </c>
      <c r="C1" s="62" t="s">
        <v>8</v>
      </c>
      <c r="D1" s="62" t="s">
        <v>9</v>
      </c>
      <c r="E1" s="60" t="s">
        <v>1</v>
      </c>
      <c r="F1" s="60" t="s">
        <v>2</v>
      </c>
      <c r="G1" s="60" t="s">
        <v>3</v>
      </c>
      <c r="H1" s="60" t="s">
        <v>4</v>
      </c>
      <c r="I1" s="60" t="s">
        <v>5</v>
      </c>
      <c r="J1" s="61" t="s">
        <v>10</v>
      </c>
    </row>
    <row r="2" spans="1:10" ht="16.5" customHeight="1" x14ac:dyDescent="0.25">
      <c r="A2" s="59"/>
      <c r="B2" s="59"/>
      <c r="C2" s="62"/>
      <c r="D2" s="62"/>
      <c r="E2" s="60"/>
      <c r="F2" s="60"/>
      <c r="G2" s="60"/>
      <c r="H2" s="60"/>
      <c r="I2" s="60"/>
      <c r="J2" s="61"/>
    </row>
    <row r="3" spans="1:10" ht="30" customHeight="1" x14ac:dyDescent="0.25">
      <c r="A3" s="58" t="s">
        <v>12</v>
      </c>
      <c r="B3" s="32" t="s">
        <v>14</v>
      </c>
      <c r="C3" s="31">
        <f>AVERAGE('Avaliações por Critério'!D3,'Avaliações por Critério'!D5,'Avaliações por Critério'!D7,'Avaliações por Critério'!D9,'Avaliações por Critério'!D11,'Avaliações por Critério'!D13)</f>
        <v>10.550964911778761</v>
      </c>
      <c r="D3" s="31">
        <f>AVERAGE('Avaliações por Critério'!E3,'Avaliações por Critério'!E5,'Avaliações por Critério'!E7,'Avaliações por Critério'!E9,'Avaliações por Critério'!E11,'Avaliações por Critério'!E13)</f>
        <v>708.5</v>
      </c>
      <c r="E3" s="31">
        <f>AVERAGE('Avaliações por Critério'!F3,'Avaliações por Critério'!F5,'Avaliações por Critério'!F7,'Avaliações por Critério'!F9,'Avaliações por Critério'!F11,'Avaliações por Critério'!F13)</f>
        <v>3.3333333333333335</v>
      </c>
      <c r="F3" s="31">
        <f>AVERAGE('Avaliações por Critério'!G3,'Avaliações por Critério'!G5,'Avaliações por Critério'!G7,'Avaliações por Critério'!G9,'Avaliações por Critério'!G11,'Avaliações por Critério'!G13)</f>
        <v>3.1666666666666665</v>
      </c>
      <c r="G3" s="31">
        <f>AVERAGE('Avaliações por Critério'!H3,'Avaliações por Critério'!H5,'Avaliações por Critério'!H7,'Avaliações por Critério'!H9,'Avaliações por Critério'!H11,'Avaliações por Critério'!H13)</f>
        <v>3.3333333333333335</v>
      </c>
      <c r="H3" s="31">
        <f>AVERAGE('Avaliações por Critério'!I3,'Avaliações por Critério'!I5,'Avaliações por Critério'!I7,'Avaliações por Critério'!I9,'Avaliações por Critério'!I11,'Avaliações por Critério'!I13)</f>
        <v>3</v>
      </c>
      <c r="I3" s="31">
        <f>AVERAGE('Avaliações por Critério'!J3,'Avaliações por Critério'!J5,'Avaliações por Critério'!J7,'Avaliações por Critério'!J9,'Avaliações por Critério'!J11,'Avaliações por Critério'!J13)</f>
        <v>3.5</v>
      </c>
      <c r="J3" s="31">
        <f>AVERAGE(E3:I3)</f>
        <v>3.2666666666666671</v>
      </c>
    </row>
    <row r="4" spans="1:10" ht="30" customHeight="1" x14ac:dyDescent="0.25">
      <c r="A4" s="58"/>
      <c r="B4" s="33" t="s">
        <v>15</v>
      </c>
      <c r="C4" s="31">
        <f>AVERAGE('Avaliações por Critério'!D4,'Avaliações por Critério'!D6,'Avaliações por Critério'!D8,'Avaliações por Critério'!D10,'Avaliações por Critério'!D12,'Avaliações por Critério'!D14)</f>
        <v>24.398666222890153</v>
      </c>
      <c r="D4" s="31">
        <f>AVERAGE('Avaliações por Critério'!E4,'Avaliações por Critério'!E6,'Avaliações por Critério'!E8,'Avaliações por Critério'!E10,'Avaliações por Critério'!E12,'Avaliações por Critério'!E14)</f>
        <v>4993.833333333333</v>
      </c>
      <c r="E4" s="31">
        <f>AVERAGE('Avaliações por Critério'!F4,'Avaliações por Critério'!F6,'Avaliações por Critério'!F8,'Avaliações por Critério'!F10,'Avaliações por Critério'!F12,'Avaliações por Critério'!F14)</f>
        <v>4</v>
      </c>
      <c r="F4" s="31">
        <f>AVERAGE('Avaliações por Critério'!G4,'Avaliações por Critério'!G6,'Avaliações por Critério'!G8,'Avaliações por Critério'!G10,'Avaliações por Critério'!G12,'Avaliações por Critério'!G14)</f>
        <v>3.3333333333333335</v>
      </c>
      <c r="G4" s="31">
        <f>AVERAGE('Avaliações por Critério'!H4,'Avaliações por Critério'!H6,'Avaliações por Critério'!H8,'Avaliações por Critério'!H10,'Avaliações por Critério'!H12,'Avaliações por Critério'!H14)</f>
        <v>4.666666666666667</v>
      </c>
      <c r="H4" s="31">
        <f>AVERAGE('Avaliações por Critério'!I4,'Avaliações por Critério'!I6,'Avaliações por Critério'!I8,'Avaliações por Critério'!I10,'Avaliações por Critério'!I12,'Avaliações por Critério'!I14)</f>
        <v>4.5</v>
      </c>
      <c r="I4" s="31">
        <f>AVERAGE('Avaliações por Critério'!J4,'Avaliações por Critério'!J6,'Avaliações por Critério'!J8,'Avaliações por Critério'!J10,'Avaliações por Critério'!J12,'Avaliações por Critério'!J14)</f>
        <v>4.833333333333333</v>
      </c>
      <c r="J4" s="31">
        <f>AVERAGE(E4:I4)</f>
        <v>4.2666666666666666</v>
      </c>
    </row>
    <row r="5" spans="1:10" ht="30" customHeight="1" x14ac:dyDescent="0.25">
      <c r="A5" s="58" t="s">
        <v>21</v>
      </c>
      <c r="B5" s="32" t="s">
        <v>14</v>
      </c>
      <c r="C5" s="31">
        <f>AVERAGE('Avaliações por Critério'!D15,'Avaliações por Critério'!D17,'Avaliações por Critério'!D19,'Avaliações por Critério'!D21,'Avaliações por Critério'!D23,'Avaliações por Critério'!D25)</f>
        <v>6.3277754783630309</v>
      </c>
      <c r="D5" s="31">
        <f>AVERAGE('Avaliações por Critério'!E15,'Avaliações por Critério'!E17,'Avaliações por Critério'!E19,'Avaliações por Critério'!E21,'Avaliações por Critério'!E23,'Avaliações por Critério'!E25)</f>
        <v>458.83333333333331</v>
      </c>
      <c r="E5" s="31">
        <f>AVERAGE('Avaliações por Critério'!F15,'Avaliações por Critério'!F17,'Avaliações por Critério'!F19,'Avaliações por Critério'!F21,'Avaliações por Critério'!F23,'Avaliações por Critério'!F25)</f>
        <v>3.6666666666666665</v>
      </c>
      <c r="F5" s="31">
        <f>AVERAGE('Avaliações por Critério'!G15,'Avaliações por Critério'!G17,'Avaliações por Critério'!G19,'Avaliações por Critério'!G21,'Avaliações por Critério'!G23,'Avaliações por Critério'!G25)</f>
        <v>3.5</v>
      </c>
      <c r="G5" s="31">
        <f>AVERAGE('Avaliações por Critério'!H15,'Avaliações por Critério'!H17,'Avaliações por Critério'!H19,'Avaliações por Critério'!H21,'Avaliações por Critério'!H23,'Avaliações por Critério'!H25)</f>
        <v>4.166666666666667</v>
      </c>
      <c r="H5" s="31">
        <f>AVERAGE('Avaliações por Critério'!I15,'Avaliações por Critério'!I17,'Avaliações por Critério'!I19,'Avaliações por Critério'!I21,'Avaliações por Critério'!I23,'Avaliações por Critério'!I25)</f>
        <v>4.166666666666667</v>
      </c>
      <c r="I5" s="31">
        <f>AVERAGE('Avaliações por Critério'!J15,'Avaliações por Critério'!J17,'Avaliações por Critério'!J19,'Avaliações por Critério'!J21,'Avaliações por Critério'!J23,'Avaliações por Critério'!J25)</f>
        <v>4</v>
      </c>
      <c r="J5" s="31">
        <f>AVERAGE(E5:I5)</f>
        <v>3.9</v>
      </c>
    </row>
    <row r="6" spans="1:10" ht="30" customHeight="1" x14ac:dyDescent="0.25">
      <c r="A6" s="58"/>
      <c r="B6" s="33" t="s">
        <v>15</v>
      </c>
      <c r="C6" s="31">
        <f>AVERAGE('Avaliações por Critério'!D16,'Avaliações por Critério'!D18,'Avaliações por Critério'!D20,'Avaliações por Critério'!D22,'Avaliações por Critério'!D24,'Avaliações por Critério'!D26)</f>
        <v>12.873504439989672</v>
      </c>
      <c r="D6" s="31">
        <f>AVERAGE('Avaliações por Critério'!E16,'Avaliações por Critério'!E18,'Avaliações por Critério'!E20,'Avaliações por Critério'!E22,'Avaliações por Critério'!E24,'Avaliações por Critério'!E26)</f>
        <v>2564.1666666666665</v>
      </c>
      <c r="E6" s="31">
        <f>AVERAGE('Avaliações por Critério'!F16,'Avaliações por Critério'!F18,'Avaliações por Critério'!F20,'Avaliações por Critério'!F22,'Avaliações por Critério'!F24,'Avaliações por Critério'!F26)</f>
        <v>4.166666666666667</v>
      </c>
      <c r="F6" s="31">
        <f>AVERAGE('Avaliações por Critério'!G16,'Avaliações por Critério'!G18,'Avaliações por Critério'!G20,'Avaliações por Critério'!G22,'Avaliações por Critério'!G24,'Avaliações por Critério'!G26)</f>
        <v>3.3333333333333335</v>
      </c>
      <c r="G6" s="31">
        <f>AVERAGE('Avaliações por Critério'!H16,'Avaliações por Critério'!H18,'Avaliações por Critério'!H20,'Avaliações por Critério'!H22,'Avaliações por Critério'!H24,'Avaliações por Critério'!H26)</f>
        <v>4.166666666666667</v>
      </c>
      <c r="H6" s="31">
        <f>AVERAGE('Avaliações por Critério'!I16,'Avaliações por Critério'!I18,'Avaliações por Critério'!I20,'Avaliações por Critério'!I22,'Avaliações por Critério'!I24,'Avaliações por Critério'!I26)</f>
        <v>4</v>
      </c>
      <c r="I6" s="31">
        <f>AVERAGE('Avaliações por Critério'!J16,'Avaliações por Critério'!J18,'Avaliações por Critério'!J20,'Avaliações por Critério'!J22,'Avaliações por Critério'!J24,'Avaliações por Critério'!J26)</f>
        <v>4.833333333333333</v>
      </c>
      <c r="J6" s="31">
        <f t="shared" ref="J6:J8" si="0">AVERAGE(E6:I6)</f>
        <v>4.0999999999999996</v>
      </c>
    </row>
    <row r="7" spans="1:10" ht="30" customHeight="1" x14ac:dyDescent="0.25">
      <c r="A7" s="58" t="s">
        <v>22</v>
      </c>
      <c r="B7" s="32" t="s">
        <v>14</v>
      </c>
      <c r="C7" s="31">
        <f>AVERAGE('Avaliações por Critério'!D27,'Avaliações por Critério'!D29,'Avaliações por Critério'!D31,'Avaliações por Critério'!D33,'Avaliações por Critério'!D35,'Avaliações por Critério'!D37)</f>
        <v>9.7276947895685684</v>
      </c>
      <c r="D7" s="31">
        <f>AVERAGE('Avaliações por Critério'!E27,'Avaliações por Critério'!E29,'Avaliações por Critério'!E31,'Avaliações por Critério'!E33,'Avaliações por Critério'!E35,'Avaliações por Critério'!E37)</f>
        <v>694.16666666666663</v>
      </c>
      <c r="E7" s="31">
        <f>AVERAGE('Avaliações por Critério'!F27,'Avaliações por Critério'!F29,'Avaliações por Critério'!F31,'Avaliações por Critério'!F33,'Avaliações por Critério'!F35,'Avaliações por Critério'!F37)</f>
        <v>4.333333333333333</v>
      </c>
      <c r="F7" s="31">
        <f>AVERAGE('Avaliações por Critério'!G27,'Avaliações por Critério'!G29,'Avaliações por Critério'!G31,'Avaliações por Critério'!G33,'Avaliações por Critério'!G35,'Avaliações por Critério'!G37)</f>
        <v>4.333333333333333</v>
      </c>
      <c r="G7" s="31">
        <f>AVERAGE('Avaliações por Critério'!H27,'Avaliações por Critério'!H29,'Avaliações por Critério'!H31,'Avaliações por Critério'!H33,'Avaliações por Critério'!H35,'Avaliações por Critério'!H37)</f>
        <v>4.166666666666667</v>
      </c>
      <c r="H7" s="31">
        <f>AVERAGE('Avaliações por Critério'!I27,'Avaliações por Critério'!I29,'Avaliações por Critério'!I31,'Avaliações por Critério'!I33,'Avaliações por Critério'!I35,'Avaliações por Critério'!I37)</f>
        <v>4.166666666666667</v>
      </c>
      <c r="I7" s="31">
        <f>AVERAGE('Avaliações por Critério'!J27,'Avaliações por Critério'!J29,'Avaliações por Critério'!J31,'Avaliações por Critério'!J33,'Avaliações por Critério'!J35,'Avaliações por Critério'!J37)</f>
        <v>4.333333333333333</v>
      </c>
      <c r="J7" s="31">
        <f t="shared" si="0"/>
        <v>4.2666666666666666</v>
      </c>
    </row>
    <row r="8" spans="1:10" ht="30" customHeight="1" x14ac:dyDescent="0.25">
      <c r="A8" s="58"/>
      <c r="B8" s="33" t="s">
        <v>15</v>
      </c>
      <c r="C8" s="31">
        <f>AVERAGE('Avaliações por Critério'!D28,'Avaliações por Critério'!D30,'Avaliações por Critério'!D32,'Avaliações por Critério'!D34,'Avaliações por Critério'!D36,'Avaliações por Critério'!D38)</f>
        <v>14.453865170478766</v>
      </c>
      <c r="D8" s="31">
        <f>AVERAGE('Avaliações por Critério'!E28,'Avaliações por Critério'!E30,'Avaliações por Critério'!E32,'Avaliações por Critério'!E34,'Avaliações por Critério'!E36,'Avaliações por Critério'!E38)</f>
        <v>3130.6666666666665</v>
      </c>
      <c r="E8" s="31">
        <f>AVERAGE('Avaliações por Critério'!F28,'Avaliações por Critério'!F30,'Avaliações por Critério'!F32,'Avaliações por Critério'!F34,'Avaliações por Critério'!F36,'Avaliações por Critério'!F38)</f>
        <v>4.333333333333333</v>
      </c>
      <c r="F8" s="31">
        <f>AVERAGE('Avaliações por Critério'!G28,'Avaliações por Critério'!G30,'Avaliações por Critério'!G32,'Avaliações por Critério'!G34,'Avaliações por Critério'!G36,'Avaliações por Critério'!G38)</f>
        <v>3.3333333333333335</v>
      </c>
      <c r="G8" s="31">
        <f>AVERAGE('Avaliações por Critério'!H28,'Avaliações por Critério'!H30,'Avaliações por Critério'!H32,'Avaliações por Critério'!H34,'Avaliações por Critério'!H36,'Avaliações por Critério'!H38)</f>
        <v>5</v>
      </c>
      <c r="H8" s="31">
        <f>AVERAGE('Avaliações por Critério'!I28,'Avaliações por Critério'!I30,'Avaliações por Critério'!I32,'Avaliações por Critério'!I34,'Avaliações por Critério'!I36,'Avaliações por Critério'!I38)</f>
        <v>4.166666666666667</v>
      </c>
      <c r="I8" s="31">
        <f>AVERAGE('Avaliações por Critério'!J28,'Avaliações por Critério'!J30,'Avaliações por Critério'!J32,'Avaliações por Critério'!J34,'Avaliações por Critério'!J36,'Avaliações por Critério'!J38)</f>
        <v>5</v>
      </c>
      <c r="J8" s="31">
        <f t="shared" si="0"/>
        <v>4.3666666666666663</v>
      </c>
    </row>
    <row r="9" spans="1:10" ht="57.75" customHeight="1" x14ac:dyDescent="0.25"/>
    <row r="10" spans="1:10" ht="68.25" customHeight="1" x14ac:dyDescent="0.25"/>
    <row r="11" spans="1:10" ht="20.25" customHeight="1" x14ac:dyDescent="0.25">
      <c r="B11" s="53" t="s">
        <v>23</v>
      </c>
      <c r="C11" s="51" t="s">
        <v>8</v>
      </c>
      <c r="D11" s="51" t="s">
        <v>9</v>
      </c>
      <c r="E11" s="55" t="s">
        <v>1</v>
      </c>
      <c r="F11" s="55" t="s">
        <v>2</v>
      </c>
      <c r="G11" s="55" t="s">
        <v>3</v>
      </c>
      <c r="H11" s="55" t="s">
        <v>4</v>
      </c>
      <c r="I11" s="55" t="s">
        <v>5</v>
      </c>
      <c r="J11" s="57" t="s">
        <v>10</v>
      </c>
    </row>
    <row r="12" spans="1:10" ht="20.25" customHeight="1" x14ac:dyDescent="0.25">
      <c r="B12" s="54"/>
      <c r="C12" s="52"/>
      <c r="D12" s="52"/>
      <c r="E12" s="56"/>
      <c r="F12" s="56"/>
      <c r="G12" s="56"/>
      <c r="H12" s="56"/>
      <c r="I12" s="56"/>
      <c r="J12" s="57"/>
    </row>
    <row r="13" spans="1:10" ht="30" customHeight="1" x14ac:dyDescent="0.25">
      <c r="B13" s="43" t="s">
        <v>14</v>
      </c>
      <c r="C13" s="44">
        <f t="shared" ref="C13:J14" si="1">AVERAGE(C3,C5,C7)</f>
        <v>8.8688117265701205</v>
      </c>
      <c r="D13" s="44">
        <f t="shared" si="1"/>
        <v>620.5</v>
      </c>
      <c r="E13" s="44">
        <f t="shared" si="1"/>
        <v>3.7777777777777772</v>
      </c>
      <c r="F13" s="44">
        <f t="shared" si="1"/>
        <v>3.6666666666666665</v>
      </c>
      <c r="G13" s="44">
        <f t="shared" si="1"/>
        <v>3.8888888888888893</v>
      </c>
      <c r="H13" s="44">
        <f t="shared" si="1"/>
        <v>3.7777777777777781</v>
      </c>
      <c r="I13" s="44">
        <f t="shared" si="1"/>
        <v>3.9444444444444442</v>
      </c>
      <c r="J13" s="44">
        <f t="shared" si="1"/>
        <v>3.8111111111111113</v>
      </c>
    </row>
    <row r="14" spans="1:10" ht="30" customHeight="1" x14ac:dyDescent="0.25">
      <c r="B14" s="45" t="s">
        <v>15</v>
      </c>
      <c r="C14" s="44">
        <f t="shared" si="1"/>
        <v>17.242011944452862</v>
      </c>
      <c r="D14" s="44">
        <f t="shared" si="1"/>
        <v>3562.8888888888887</v>
      </c>
      <c r="E14" s="44">
        <f t="shared" si="1"/>
        <v>4.166666666666667</v>
      </c>
      <c r="F14" s="44">
        <f t="shared" si="1"/>
        <v>3.3333333333333335</v>
      </c>
      <c r="G14" s="44">
        <f t="shared" si="1"/>
        <v>4.6111111111111116</v>
      </c>
      <c r="H14" s="44">
        <f t="shared" si="1"/>
        <v>4.2222222222222223</v>
      </c>
      <c r="I14" s="44">
        <f t="shared" si="1"/>
        <v>4.8888888888888884</v>
      </c>
      <c r="J14" s="44">
        <f t="shared" si="1"/>
        <v>4.2444444444444445</v>
      </c>
    </row>
    <row r="15" spans="1:10" ht="15" customHeight="1" x14ac:dyDescent="0.25"/>
    <row r="16" spans="1:10" ht="15" customHeight="1" x14ac:dyDescent="0.25"/>
  </sheetData>
  <mergeCells count="22">
    <mergeCell ref="J1:J2"/>
    <mergeCell ref="A3:A4"/>
    <mergeCell ref="C1:C2"/>
    <mergeCell ref="D1:D2"/>
    <mergeCell ref="E1:E2"/>
    <mergeCell ref="F1:F2"/>
    <mergeCell ref="G1:G2"/>
    <mergeCell ref="A7:A8"/>
    <mergeCell ref="A1:A2"/>
    <mergeCell ref="A5:A6"/>
    <mergeCell ref="H1:H2"/>
    <mergeCell ref="I1:I2"/>
    <mergeCell ref="B1:B2"/>
    <mergeCell ref="J11:J12"/>
    <mergeCell ref="I11:I12"/>
    <mergeCell ref="C11:C12"/>
    <mergeCell ref="B11:B12"/>
    <mergeCell ref="H11:H12"/>
    <mergeCell ref="G11:G12"/>
    <mergeCell ref="F11:F12"/>
    <mergeCell ref="E11:E12"/>
    <mergeCell ref="D11:D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Avaliações por Critério</vt:lpstr>
      <vt:lpstr>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Vinicius Correia Sanches</cp:lastModifiedBy>
  <dcterms:created xsi:type="dcterms:W3CDTF">2025-11-08T15:29:54Z</dcterms:created>
  <dcterms:modified xsi:type="dcterms:W3CDTF">2025-12-03T15:59:08Z</dcterms:modified>
</cp:coreProperties>
</file>